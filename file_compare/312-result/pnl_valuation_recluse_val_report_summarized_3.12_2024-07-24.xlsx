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ecbenefit-my.sharepoint.com/personal/grant_smith_securitybenefit_com/Documents/Desktop/312-testing/"/>
    </mc:Choice>
  </mc:AlternateContent>
  <xr:revisionPtr revIDLastSave="9" documentId="11_27D177805BC051162BDA3611595ED87656CDD41E" xr6:coauthVersionLast="47" xr6:coauthVersionMax="47" xr10:uidLastSave="{001C337A-DAA6-424E-BADC-51A45D82D936}"/>
  <bookViews>
    <workbookView xWindow="22932" yWindow="-12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J4" i="1"/>
  <c r="K4" i="1"/>
  <c r="L4" i="1"/>
  <c r="M4" i="1"/>
  <c r="N4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J9" i="1"/>
  <c r="K9" i="1"/>
  <c r="L9" i="1"/>
  <c r="M9" i="1"/>
  <c r="N9" i="1"/>
  <c r="J10" i="1"/>
  <c r="K10" i="1"/>
  <c r="L10" i="1"/>
  <c r="M10" i="1"/>
  <c r="N10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19" i="1"/>
  <c r="K19" i="1"/>
  <c r="L19" i="1"/>
  <c r="M19" i="1"/>
  <c r="N19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5" i="1"/>
  <c r="K25" i="1"/>
  <c r="L25" i="1"/>
  <c r="M25" i="1"/>
  <c r="N25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J30" i="1"/>
  <c r="K30" i="1"/>
  <c r="L30" i="1"/>
  <c r="M30" i="1"/>
  <c r="N30" i="1"/>
  <c r="J31" i="1"/>
  <c r="K31" i="1"/>
  <c r="L31" i="1"/>
  <c r="M31" i="1"/>
  <c r="N31" i="1"/>
  <c r="J32" i="1"/>
  <c r="K32" i="1"/>
  <c r="L32" i="1"/>
  <c r="M32" i="1"/>
  <c r="N32" i="1"/>
  <c r="J33" i="1"/>
  <c r="K33" i="1"/>
  <c r="L33" i="1"/>
  <c r="M33" i="1"/>
  <c r="N33" i="1"/>
  <c r="J34" i="1"/>
  <c r="K34" i="1"/>
  <c r="L34" i="1"/>
  <c r="M34" i="1"/>
  <c r="N34" i="1"/>
  <c r="J35" i="1"/>
  <c r="K35" i="1"/>
  <c r="L35" i="1"/>
  <c r="M35" i="1"/>
  <c r="N35" i="1"/>
  <c r="J36" i="1"/>
  <c r="K36" i="1"/>
  <c r="L36" i="1"/>
  <c r="M36" i="1"/>
  <c r="N36" i="1"/>
  <c r="N2" i="1"/>
  <c r="K2" i="1"/>
  <c r="L2" i="1"/>
  <c r="M2" i="1"/>
  <c r="J2" i="1"/>
</calcChain>
</file>

<file path=xl/sharedStrings.xml><?xml version="1.0" encoding="utf-8"?>
<sst xmlns="http://schemas.openxmlformats.org/spreadsheetml/2006/main" count="113" uniqueCount="27">
  <si>
    <t>InternalPortfolio</t>
  </si>
  <si>
    <t>TradeType</t>
  </si>
  <si>
    <t>AL</t>
  </si>
  <si>
    <t>Notional</t>
  </si>
  <si>
    <t>Valuation</t>
  </si>
  <si>
    <t>Delta</t>
  </si>
  <si>
    <t>Rho</t>
  </si>
  <si>
    <t>Theta</t>
  </si>
  <si>
    <t>ALTVI</t>
  </si>
  <si>
    <t>Futures</t>
  </si>
  <si>
    <t>A</t>
  </si>
  <si>
    <t>Option</t>
  </si>
  <si>
    <t>L</t>
  </si>
  <si>
    <t>AVANTIS</t>
  </si>
  <si>
    <t>BNPIHDPL</t>
  </si>
  <si>
    <t>Swap</t>
  </si>
  <si>
    <t>DRLBLEND</t>
  </si>
  <si>
    <t>FACTOR7</t>
  </si>
  <si>
    <t>IRMACRO</t>
  </si>
  <si>
    <t>MAIA</t>
  </si>
  <si>
    <t>MOAT7</t>
  </si>
  <si>
    <t>MPI</t>
  </si>
  <si>
    <t>MSDA</t>
  </si>
  <si>
    <t>MSGE</t>
  </si>
  <si>
    <t>SPLOWVOL5</t>
  </si>
  <si>
    <t>SPMARC5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</si>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</sst>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cbenefit-my.sharepoint.com/personal/grant_smith_securitybenefit_com/Documents/Desktop/312-testing/recluse-run-pnl-reclusevalsummary_3.7.8_2024-07-24%2010-08-48.pnl_recluse_val.xlsx" TargetMode="External"/><Relationship Id="rId1" Type="http://schemas.openxmlformats.org/officeDocument/2006/relationships/externalLinkPath" Target="recluse-run-pnl-reclusevalsummary_3.7.8_2024-07-24%2010-08-48.pnl_recluse_v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E2">
            <v>-5925978.2000000011</v>
          </cell>
          <cell r="F2">
            <v>45185.595000000387</v>
          </cell>
          <cell r="G2">
            <v>337304.66251390002</v>
          </cell>
          <cell r="H2">
            <v>0</v>
          </cell>
          <cell r="I2">
            <v>0</v>
          </cell>
        </row>
        <row r="3">
          <cell r="E3">
            <v>677937565</v>
          </cell>
          <cell r="F3">
            <v>5950743.8894288549</v>
          </cell>
          <cell r="G3">
            <v>465632.78273328202</v>
          </cell>
          <cell r="H3">
            <v>-11649.18521527833</v>
          </cell>
          <cell r="I3">
            <v>-2161.352133874937</v>
          </cell>
        </row>
        <row r="4">
          <cell r="E4">
            <v>1322407572.3503981</v>
          </cell>
          <cell r="F4">
            <v>13426101.764319731</v>
          </cell>
          <cell r="G4">
            <v>1125248.55728172</v>
          </cell>
          <cell r="H4">
            <v>-27616.03462135989</v>
          </cell>
          <cell r="I4">
            <v>-5210.1854319954009</v>
          </cell>
        </row>
        <row r="5">
          <cell r="E5">
            <v>9299440.0906000026</v>
          </cell>
          <cell r="F5">
            <v>627148.45030837366</v>
          </cell>
          <cell r="G5">
            <v>66197.212415860486</v>
          </cell>
          <cell r="H5">
            <v>-413.87094616331672</v>
          </cell>
          <cell r="I5">
            <v>-330.0659684205159</v>
          </cell>
        </row>
        <row r="6">
          <cell r="E6">
            <v>9108327.4962000009</v>
          </cell>
          <cell r="F6">
            <v>630296.43904849922</v>
          </cell>
          <cell r="G6">
            <v>66283.987465181242</v>
          </cell>
          <cell r="H6">
            <v>-402.80975557807909</v>
          </cell>
          <cell r="I6">
            <v>-318.11845091265292</v>
          </cell>
        </row>
        <row r="7">
          <cell r="E7">
            <v>1181862374.7126</v>
          </cell>
          <cell r="F7">
            <v>21039978.104097761</v>
          </cell>
          <cell r="G7">
            <v>3412156.713354954</v>
          </cell>
          <cell r="H7">
            <v>-12774.203675837611</v>
          </cell>
          <cell r="I7">
            <v>-22043.714462809741</v>
          </cell>
        </row>
        <row r="8">
          <cell r="E8">
            <v>155029020.240843</v>
          </cell>
          <cell r="F8">
            <v>-384230.21192137012</v>
          </cell>
          <cell r="G8">
            <v>1544584.114550306</v>
          </cell>
          <cell r="H8">
            <v>0</v>
          </cell>
          <cell r="I8">
            <v>4306.3616733567515</v>
          </cell>
        </row>
        <row r="9">
          <cell r="E9">
            <v>1045636957.182</v>
          </cell>
          <cell r="F9">
            <v>154528890.36043441</v>
          </cell>
          <cell r="G9">
            <v>9647807.1258418392</v>
          </cell>
          <cell r="H9">
            <v>2302442.6917727091</v>
          </cell>
          <cell r="I9">
            <v>-81192.593853667961</v>
          </cell>
        </row>
        <row r="10">
          <cell r="E10">
            <v>2140835633.5008061</v>
          </cell>
          <cell r="F10">
            <v>307637434.46127892</v>
          </cell>
          <cell r="G10">
            <v>19902077.07328362</v>
          </cell>
          <cell r="H10">
            <v>4593891.1255526245</v>
          </cell>
          <cell r="I10">
            <v>-170716.33906529631</v>
          </cell>
        </row>
        <row r="11">
          <cell r="E11">
            <v>446421752.29000002</v>
          </cell>
          <cell r="F11">
            <v>12558096.06533125</v>
          </cell>
          <cell r="G11">
            <v>5121560.4599416396</v>
          </cell>
          <cell r="H11">
            <v>0</v>
          </cell>
          <cell r="I11">
            <v>-66434.049724325014</v>
          </cell>
        </row>
        <row r="12">
          <cell r="E12">
            <v>503863934.79159969</v>
          </cell>
          <cell r="F12">
            <v>45329666.437689722</v>
          </cell>
          <cell r="G12">
            <v>4290747.0223873388</v>
          </cell>
          <cell r="H12">
            <v>-27996.041649365969</v>
          </cell>
          <cell r="I12">
            <v>-6685.0863820407258</v>
          </cell>
        </row>
        <row r="13">
          <cell r="E13">
            <v>118088128</v>
          </cell>
          <cell r="F13">
            <v>-3134948.5761422189</v>
          </cell>
          <cell r="G13">
            <v>2166752.8561289469</v>
          </cell>
          <cell r="H13">
            <v>0</v>
          </cell>
          <cell r="I13">
            <v>-20050.28807111111</v>
          </cell>
        </row>
        <row r="14">
          <cell r="E14">
            <v>317410750.86400002</v>
          </cell>
          <cell r="F14">
            <v>3755297.812999947</v>
          </cell>
          <cell r="G14">
            <v>3174107.5086400001</v>
          </cell>
          <cell r="H14">
            <v>0</v>
          </cell>
          <cell r="I14">
            <v>0</v>
          </cell>
        </row>
        <row r="15">
          <cell r="E15">
            <v>966400000</v>
          </cell>
          <cell r="F15">
            <v>3310538.1386816739</v>
          </cell>
          <cell r="G15">
            <v>0</v>
          </cell>
          <cell r="H15">
            <v>1197964.6898858889</v>
          </cell>
          <cell r="I15">
            <v>0</v>
          </cell>
        </row>
        <row r="16">
          <cell r="E16">
            <v>750276100.05719876</v>
          </cell>
          <cell r="F16">
            <v>37299822.216525897</v>
          </cell>
          <cell r="G16">
            <v>5732901.4814856639</v>
          </cell>
          <cell r="H16">
            <v>-30337.919001063659</v>
          </cell>
          <cell r="I16">
            <v>9711.818441170326</v>
          </cell>
        </row>
        <row r="17">
          <cell r="E17">
            <v>759489302.91579878</v>
          </cell>
          <cell r="F17">
            <v>35621601.596099056</v>
          </cell>
          <cell r="G17">
            <v>5741768.0445498461</v>
          </cell>
          <cell r="H17">
            <v>-30675.760834316588</v>
          </cell>
          <cell r="I17">
            <v>9474.3362947838141</v>
          </cell>
        </row>
        <row r="18">
          <cell r="E18">
            <v>1789895048.5614009</v>
          </cell>
          <cell r="F18">
            <v>55234298.274348177</v>
          </cell>
          <cell r="G18">
            <v>10386216.67466988</v>
          </cell>
          <cell r="H18">
            <v>-37646.489894943312</v>
          </cell>
          <cell r="I18">
            <v>-75012.819226784341</v>
          </cell>
        </row>
        <row r="19">
          <cell r="E19">
            <v>2647843951.9553928</v>
          </cell>
          <cell r="F19">
            <v>90441325.523444653</v>
          </cell>
          <cell r="G19">
            <v>15658351.645001771</v>
          </cell>
          <cell r="H19">
            <v>-68366.014289929517</v>
          </cell>
          <cell r="I19">
            <v>-100319.7029442176</v>
          </cell>
        </row>
        <row r="20">
          <cell r="E20">
            <v>91044811.179999992</v>
          </cell>
          <cell r="F20">
            <v>2650337.4364369349</v>
          </cell>
          <cell r="G20">
            <v>2619804.9067867468</v>
          </cell>
          <cell r="H20">
            <v>0</v>
          </cell>
          <cell r="I20">
            <v>-14593.394707449999</v>
          </cell>
        </row>
        <row r="21">
          <cell r="E21">
            <v>1961846876.44666</v>
          </cell>
          <cell r="F21">
            <v>41119057.275687777</v>
          </cell>
          <cell r="G21">
            <v>9428449.3326662518</v>
          </cell>
          <cell r="H21">
            <v>-27234.395050029299</v>
          </cell>
          <cell r="I21">
            <v>-55119.902814330118</v>
          </cell>
        </row>
        <row r="22">
          <cell r="E22">
            <v>1972055303.6404109</v>
          </cell>
          <cell r="F22">
            <v>41385825.026098587</v>
          </cell>
          <cell r="G22">
            <v>9334345.5432115924</v>
          </cell>
          <cell r="H22">
            <v>-30324.296907835342</v>
          </cell>
          <cell r="I22">
            <v>-52063.139084176713</v>
          </cell>
        </row>
        <row r="23">
          <cell r="E23">
            <v>983960</v>
          </cell>
          <cell r="F23">
            <v>24939.52000000004</v>
          </cell>
          <cell r="G23">
            <v>9839.6</v>
          </cell>
          <cell r="H23">
            <v>0</v>
          </cell>
          <cell r="I23">
            <v>0</v>
          </cell>
        </row>
        <row r="24">
          <cell r="E24">
            <v>3516342791.5</v>
          </cell>
          <cell r="F24">
            <v>61987923.819541827</v>
          </cell>
          <cell r="G24">
            <v>9201312.3999356627</v>
          </cell>
          <cell r="H24">
            <v>-33212.39486773625</v>
          </cell>
          <cell r="I24">
            <v>-76646.094150570949</v>
          </cell>
        </row>
        <row r="25">
          <cell r="E25">
            <v>4313436921.0383987</v>
          </cell>
          <cell r="F25">
            <v>80368445.60280624</v>
          </cell>
          <cell r="G25">
            <v>11396090.088969581</v>
          </cell>
          <cell r="H25">
            <v>-44849.278852361203</v>
          </cell>
          <cell r="I25">
            <v>-90116.315665656191</v>
          </cell>
        </row>
        <row r="26">
          <cell r="E26">
            <v>110600630</v>
          </cell>
          <cell r="F26">
            <v>776769.84288750996</v>
          </cell>
          <cell r="G26">
            <v>1114317</v>
          </cell>
          <cell r="H26">
            <v>0</v>
          </cell>
          <cell r="I26">
            <v>-1797.2602374999999</v>
          </cell>
        </row>
        <row r="27">
          <cell r="E27">
            <v>502980474.43999958</v>
          </cell>
          <cell r="F27">
            <v>27788964.987047769</v>
          </cell>
          <cell r="G27">
            <v>3266836.0635885429</v>
          </cell>
          <cell r="H27">
            <v>-18359.47158336436</v>
          </cell>
          <cell r="I27">
            <v>13603.15813344961</v>
          </cell>
        </row>
        <row r="28">
          <cell r="E28">
            <v>512931619.74239922</v>
          </cell>
          <cell r="F28">
            <v>27801451.08854802</v>
          </cell>
          <cell r="G28">
            <v>3277689.599364337</v>
          </cell>
          <cell r="H28">
            <v>-18612.291048522911</v>
          </cell>
          <cell r="I28">
            <v>13094.471848516991</v>
          </cell>
        </row>
        <row r="29">
          <cell r="E29">
            <v>2331664054.6599998</v>
          </cell>
          <cell r="F29">
            <v>152366192.33269119</v>
          </cell>
          <cell r="G29">
            <v>21781363.972151659</v>
          </cell>
          <cell r="H29">
            <v>1201525.559326221</v>
          </cell>
          <cell r="I29">
            <v>-322778.27293799852</v>
          </cell>
        </row>
        <row r="30">
          <cell r="E30">
            <v>2362956768.193202</v>
          </cell>
          <cell r="F30">
            <v>154969425.07597241</v>
          </cell>
          <cell r="G30">
            <v>21847932.86037986</v>
          </cell>
          <cell r="H30">
            <v>1263548.758219582</v>
          </cell>
          <cell r="I30">
            <v>-325175.94919698208</v>
          </cell>
        </row>
        <row r="31">
          <cell r="E31">
            <v>737970.00000000012</v>
          </cell>
          <cell r="F31">
            <v>36284.639999999999</v>
          </cell>
          <cell r="G31">
            <v>7379.7</v>
          </cell>
          <cell r="H31">
            <v>0</v>
          </cell>
          <cell r="I31">
            <v>0</v>
          </cell>
        </row>
        <row r="32">
          <cell r="E32">
            <v>3363230217.159997</v>
          </cell>
          <cell r="F32">
            <v>198365528.00571501</v>
          </cell>
          <cell r="G32">
            <v>29245093.566089358</v>
          </cell>
          <cell r="H32">
            <v>-124423.14224423689</v>
          </cell>
          <cell r="I32">
            <v>-30366.443209845311</v>
          </cell>
        </row>
        <row r="33">
          <cell r="E33">
            <v>3454948925.390008</v>
          </cell>
          <cell r="F33">
            <v>198269876.8821795</v>
          </cell>
          <cell r="G33">
            <v>29371344.288355179</v>
          </cell>
          <cell r="H33">
            <v>-131108.93618494991</v>
          </cell>
          <cell r="I33">
            <v>-35662.486584136983</v>
          </cell>
        </row>
        <row r="34">
          <cell r="E34">
            <v>34679850</v>
          </cell>
          <cell r="F34">
            <v>-223840.19999999969</v>
          </cell>
          <cell r="G34">
            <v>346798.5</v>
          </cell>
          <cell r="H34">
            <v>0</v>
          </cell>
          <cell r="I34">
            <v>0</v>
          </cell>
        </row>
        <row r="35">
          <cell r="E35">
            <v>24782889784.177261</v>
          </cell>
          <cell r="F35">
            <v>1453971791.977875</v>
          </cell>
          <cell r="G35">
            <v>40089492.55977875</v>
          </cell>
          <cell r="H35">
            <v>1925822.1622854581</v>
          </cell>
          <cell r="I35">
            <v>-314568.6998996404</v>
          </cell>
        </row>
        <row r="36">
          <cell r="E36">
            <v>24936270134.725151</v>
          </cell>
          <cell r="F36">
            <v>1467282955.8817079</v>
          </cell>
          <cell r="G36">
            <v>40663096.608482257</v>
          </cell>
          <cell r="H36">
            <v>1969006.1299447489</v>
          </cell>
          <cell r="I36">
            <v>-321372.6980614207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Q13" sqref="Q13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4" x14ac:dyDescent="0.3">
      <c r="A2" s="1">
        <v>0</v>
      </c>
      <c r="B2" t="s">
        <v>8</v>
      </c>
      <c r="C2" t="s">
        <v>9</v>
      </c>
      <c r="D2" t="s">
        <v>10</v>
      </c>
      <c r="E2">
        <v>-5925978.2000000011</v>
      </c>
      <c r="F2">
        <v>45185.595000000423</v>
      </c>
      <c r="G2">
        <v>337304.66251390002</v>
      </c>
      <c r="H2">
        <v>0</v>
      </c>
      <c r="I2">
        <v>0</v>
      </c>
      <c r="J2" s="2">
        <f>E2-[1]Sheet1!E2</f>
        <v>0</v>
      </c>
      <c r="K2" s="2">
        <f>F2-[1]Sheet1!F2</f>
        <v>0</v>
      </c>
      <c r="L2" s="2">
        <f>G2-[1]Sheet1!G2</f>
        <v>0</v>
      </c>
      <c r="M2" s="2">
        <f>H2-[1]Sheet1!H2</f>
        <v>0</v>
      </c>
      <c r="N2" s="2">
        <f>I2-[1]Sheet1!I2</f>
        <v>0</v>
      </c>
    </row>
    <row r="3" spans="1:14" x14ac:dyDescent="0.3">
      <c r="A3" s="1">
        <v>1</v>
      </c>
      <c r="B3" t="s">
        <v>8</v>
      </c>
      <c r="C3" t="s">
        <v>11</v>
      </c>
      <c r="D3" t="s">
        <v>10</v>
      </c>
      <c r="E3">
        <v>677937565</v>
      </c>
      <c r="F3">
        <v>5950743.8894288577</v>
      </c>
      <c r="G3">
        <v>465632.7827332819</v>
      </c>
      <c r="H3">
        <v>-11649.18521527833</v>
      </c>
      <c r="I3">
        <v>-2161.352133874937</v>
      </c>
      <c r="J3" s="2">
        <f>E3-[1]Sheet1!E3</f>
        <v>0</v>
      </c>
      <c r="K3" s="2">
        <f>F3-[1]Sheet1!F3</f>
        <v>0</v>
      </c>
      <c r="L3" s="2">
        <f>G3-[1]Sheet1!G3</f>
        <v>0</v>
      </c>
      <c r="M3" s="2">
        <f>H3-[1]Sheet1!H3</f>
        <v>0</v>
      </c>
      <c r="N3" s="2">
        <f>I3-[1]Sheet1!I3</f>
        <v>0</v>
      </c>
    </row>
    <row r="4" spans="1:14" x14ac:dyDescent="0.3">
      <c r="A4" s="1">
        <v>2</v>
      </c>
      <c r="B4" t="s">
        <v>8</v>
      </c>
      <c r="C4" t="s">
        <v>11</v>
      </c>
      <c r="D4" t="s">
        <v>12</v>
      </c>
      <c r="E4">
        <v>1322407572.3504</v>
      </c>
      <c r="F4">
        <v>13426101.764319699</v>
      </c>
      <c r="G4">
        <v>1125248.5572817151</v>
      </c>
      <c r="H4">
        <v>-27616.034621359871</v>
      </c>
      <c r="I4">
        <v>-5210.1854319954055</v>
      </c>
      <c r="J4" s="2">
        <f>E4-[1]Sheet1!E4</f>
        <v>1.9073486328125E-6</v>
      </c>
      <c r="K4" s="2">
        <f>F4-[1]Sheet1!F4</f>
        <v>-3.166496753692627E-8</v>
      </c>
      <c r="L4" s="2">
        <f>G4-[1]Sheet1!G4</f>
        <v>-4.8894435167312622E-9</v>
      </c>
      <c r="M4" s="2">
        <f>H4-[1]Sheet1!H4</f>
        <v>0</v>
      </c>
      <c r="N4" s="2">
        <f>I4-[1]Sheet1!I4</f>
        <v>0</v>
      </c>
    </row>
    <row r="5" spans="1:14" x14ac:dyDescent="0.3">
      <c r="A5" s="1">
        <v>3</v>
      </c>
      <c r="B5" t="s">
        <v>13</v>
      </c>
      <c r="C5" t="s">
        <v>11</v>
      </c>
      <c r="D5" t="s">
        <v>10</v>
      </c>
      <c r="E5">
        <v>9299440.0905999988</v>
      </c>
      <c r="F5">
        <v>627148.45030837378</v>
      </c>
      <c r="G5">
        <v>66197.212415860515</v>
      </c>
      <c r="H5">
        <v>-413.8709461633166</v>
      </c>
      <c r="I5">
        <v>-330.06596842051579</v>
      </c>
      <c r="J5" s="2">
        <f>E5-[1]Sheet1!E5</f>
        <v>0</v>
      </c>
      <c r="K5" s="2">
        <f>F5-[1]Sheet1!F5</f>
        <v>0</v>
      </c>
      <c r="L5" s="2">
        <f>G5-[1]Sheet1!G5</f>
        <v>0</v>
      </c>
      <c r="M5" s="2">
        <f>H5-[1]Sheet1!H5</f>
        <v>0</v>
      </c>
      <c r="N5" s="2">
        <f>I5-[1]Sheet1!I5</f>
        <v>0</v>
      </c>
    </row>
    <row r="6" spans="1:14" x14ac:dyDescent="0.3">
      <c r="A6" s="1">
        <v>4</v>
      </c>
      <c r="B6" t="s">
        <v>13</v>
      </c>
      <c r="C6" t="s">
        <v>11</v>
      </c>
      <c r="D6" t="s">
        <v>12</v>
      </c>
      <c r="E6">
        <v>9108327.4962000009</v>
      </c>
      <c r="F6">
        <v>630296.43904849933</v>
      </c>
      <c r="G6">
        <v>66283.987465181272</v>
      </c>
      <c r="H6">
        <v>-402.80975557807909</v>
      </c>
      <c r="I6">
        <v>-318.11845091265269</v>
      </c>
      <c r="J6" s="2">
        <f>E6-[1]Sheet1!E6</f>
        <v>0</v>
      </c>
      <c r="K6" s="2">
        <f>F6-[1]Sheet1!F6</f>
        <v>0</v>
      </c>
      <c r="L6" s="2">
        <f>G6-[1]Sheet1!G6</f>
        <v>0</v>
      </c>
      <c r="M6" s="2">
        <f>H6-[1]Sheet1!H6</f>
        <v>0</v>
      </c>
      <c r="N6" s="2">
        <f>I6-[1]Sheet1!I6</f>
        <v>0</v>
      </c>
    </row>
    <row r="7" spans="1:14" x14ac:dyDescent="0.3">
      <c r="A7" s="1">
        <v>5</v>
      </c>
      <c r="B7" t="s">
        <v>14</v>
      </c>
      <c r="C7" t="s">
        <v>11</v>
      </c>
      <c r="D7" t="s">
        <v>12</v>
      </c>
      <c r="E7">
        <v>1181862374.7126</v>
      </c>
      <c r="F7">
        <v>21039978.10409781</v>
      </c>
      <c r="G7">
        <v>3412156.7133549568</v>
      </c>
      <c r="H7">
        <v>-12774.20367583762</v>
      </c>
      <c r="I7">
        <v>-22043.714462809781</v>
      </c>
      <c r="J7" s="2">
        <f>E7-[1]Sheet1!E7</f>
        <v>0</v>
      </c>
      <c r="K7" s="2">
        <f>F7-[1]Sheet1!F7</f>
        <v>4.8428773880004883E-8</v>
      </c>
      <c r="L7" s="2">
        <f>G7-[1]Sheet1!G7</f>
        <v>0</v>
      </c>
      <c r="M7" s="2">
        <f>H7-[1]Sheet1!H7</f>
        <v>0</v>
      </c>
      <c r="N7" s="2">
        <f>I7-[1]Sheet1!I7</f>
        <v>-4.0017766878008842E-11</v>
      </c>
    </row>
    <row r="8" spans="1:14" x14ac:dyDescent="0.3">
      <c r="A8" s="1">
        <v>6</v>
      </c>
      <c r="B8" t="s">
        <v>14</v>
      </c>
      <c r="C8" t="s">
        <v>15</v>
      </c>
      <c r="D8" t="s">
        <v>10</v>
      </c>
      <c r="E8">
        <v>155029020.240843</v>
      </c>
      <c r="F8">
        <v>-384230.21192137018</v>
      </c>
      <c r="G8">
        <v>1544584.114550306</v>
      </c>
      <c r="H8">
        <v>0</v>
      </c>
      <c r="I8">
        <v>4306.3616733567515</v>
      </c>
      <c r="J8" s="2">
        <f>E8-[1]Sheet1!E8</f>
        <v>0</v>
      </c>
      <c r="K8" s="2">
        <f>F8-[1]Sheet1!F8</f>
        <v>0</v>
      </c>
      <c r="L8" s="2">
        <f>G8-[1]Sheet1!G8</f>
        <v>0</v>
      </c>
      <c r="M8" s="2">
        <f>H8-[1]Sheet1!H8</f>
        <v>0</v>
      </c>
      <c r="N8" s="2">
        <f>I8-[1]Sheet1!I8</f>
        <v>0</v>
      </c>
    </row>
    <row r="9" spans="1:14" x14ac:dyDescent="0.3">
      <c r="A9" s="1">
        <v>7</v>
      </c>
      <c r="B9" t="s">
        <v>16</v>
      </c>
      <c r="C9" t="s">
        <v>11</v>
      </c>
      <c r="D9" t="s">
        <v>10</v>
      </c>
      <c r="E9">
        <v>1045636957.182</v>
      </c>
      <c r="F9">
        <v>154528890.36043441</v>
      </c>
      <c r="G9">
        <v>9647807.1258418392</v>
      </c>
      <c r="H9">
        <v>2302442.6917727091</v>
      </c>
      <c r="I9">
        <v>-81192.593853667917</v>
      </c>
      <c r="J9" s="2">
        <f>E9-[1]Sheet1!E9</f>
        <v>0</v>
      </c>
      <c r="K9" s="2">
        <f>F9-[1]Sheet1!F9</f>
        <v>0</v>
      </c>
      <c r="L9" s="2">
        <f>G9-[1]Sheet1!G9</f>
        <v>0</v>
      </c>
      <c r="M9" s="2">
        <f>H9-[1]Sheet1!H9</f>
        <v>0</v>
      </c>
      <c r="N9" s="2">
        <f>I9-[1]Sheet1!I9</f>
        <v>0</v>
      </c>
    </row>
    <row r="10" spans="1:14" x14ac:dyDescent="0.3">
      <c r="A10" s="1">
        <v>8</v>
      </c>
      <c r="B10" t="s">
        <v>16</v>
      </c>
      <c r="C10" t="s">
        <v>11</v>
      </c>
      <c r="D10" t="s">
        <v>12</v>
      </c>
      <c r="E10">
        <v>2140835633.5007999</v>
      </c>
      <c r="F10">
        <v>307637434.46127838</v>
      </c>
      <c r="G10">
        <v>19902077.07328362</v>
      </c>
      <c r="H10">
        <v>4593891.1255526263</v>
      </c>
      <c r="I10">
        <v>-170716.33906529591</v>
      </c>
      <c r="J10" s="2">
        <f>E10-[1]Sheet1!E10</f>
        <v>-6.198883056640625E-6</v>
      </c>
      <c r="K10" s="2">
        <f>F10-[1]Sheet1!F10</f>
        <v>-5.3644180297851563E-7</v>
      </c>
      <c r="L10" s="2">
        <f>G10-[1]Sheet1!G10</f>
        <v>0</v>
      </c>
      <c r="M10" s="2">
        <f>H10-[1]Sheet1!H10</f>
        <v>0</v>
      </c>
      <c r="N10" s="2">
        <f>I10-[1]Sheet1!I10</f>
        <v>4.0745362639427185E-10</v>
      </c>
    </row>
    <row r="11" spans="1:14" x14ac:dyDescent="0.3">
      <c r="A11" s="1">
        <v>9</v>
      </c>
      <c r="B11" t="s">
        <v>16</v>
      </c>
      <c r="C11" t="s">
        <v>15</v>
      </c>
      <c r="D11" t="s">
        <v>10</v>
      </c>
      <c r="E11">
        <v>446421752.29000002</v>
      </c>
      <c r="F11">
        <v>12558096.06533125</v>
      </c>
      <c r="G11">
        <v>5121560.4599416414</v>
      </c>
      <c r="H11">
        <v>0</v>
      </c>
      <c r="I11">
        <v>-66434.049724324999</v>
      </c>
      <c r="J11" s="2">
        <f>E11-[1]Sheet1!E11</f>
        <v>0</v>
      </c>
      <c r="K11" s="2">
        <f>F11-[1]Sheet1!F11</f>
        <v>0</v>
      </c>
      <c r="L11" s="2">
        <f>G11-[1]Sheet1!G11</f>
        <v>0</v>
      </c>
      <c r="M11" s="2">
        <f>H11-[1]Sheet1!H11</f>
        <v>0</v>
      </c>
      <c r="N11" s="2">
        <f>I11-[1]Sheet1!I11</f>
        <v>0</v>
      </c>
    </row>
    <row r="12" spans="1:14" x14ac:dyDescent="0.3">
      <c r="A12" s="1">
        <v>10</v>
      </c>
      <c r="B12" t="s">
        <v>17</v>
      </c>
      <c r="C12" t="s">
        <v>11</v>
      </c>
      <c r="D12" t="s">
        <v>12</v>
      </c>
      <c r="E12">
        <v>503863934.79159999</v>
      </c>
      <c r="F12">
        <v>45329666.437689707</v>
      </c>
      <c r="G12">
        <v>4290747.0223873379</v>
      </c>
      <c r="H12">
        <v>-27996.041649365929</v>
      </c>
      <c r="I12">
        <v>-6685.0863820407076</v>
      </c>
      <c r="J12" s="2">
        <f>E12-[1]Sheet1!E12</f>
        <v>0</v>
      </c>
      <c r="K12" s="2">
        <f>F12-[1]Sheet1!F12</f>
        <v>0</v>
      </c>
      <c r="L12" s="2">
        <f>G12-[1]Sheet1!G12</f>
        <v>0</v>
      </c>
      <c r="M12" s="2">
        <f>H12-[1]Sheet1!H12</f>
        <v>4.0017766878008842E-11</v>
      </c>
      <c r="N12" s="2">
        <f>I12-[1]Sheet1!I12</f>
        <v>1.8189894035458565E-11</v>
      </c>
    </row>
    <row r="13" spans="1:14" x14ac:dyDescent="0.3">
      <c r="A13" s="1">
        <v>11</v>
      </c>
      <c r="B13" t="s">
        <v>17</v>
      </c>
      <c r="C13" t="s">
        <v>15</v>
      </c>
      <c r="D13" t="s">
        <v>10</v>
      </c>
      <c r="E13">
        <v>118088128</v>
      </c>
      <c r="F13">
        <v>-3134948.5761422189</v>
      </c>
      <c r="G13">
        <v>2166752.8561289469</v>
      </c>
      <c r="H13">
        <v>0</v>
      </c>
      <c r="I13">
        <v>-20050.28807111111</v>
      </c>
      <c r="J13" s="2">
        <f>E13-[1]Sheet1!E13</f>
        <v>0</v>
      </c>
      <c r="K13" s="2">
        <f>F13-[1]Sheet1!F13</f>
        <v>0</v>
      </c>
      <c r="L13" s="2">
        <f>G13-[1]Sheet1!G13</f>
        <v>0</v>
      </c>
      <c r="M13" s="2">
        <f>H13-[1]Sheet1!H13</f>
        <v>0</v>
      </c>
      <c r="N13" s="2">
        <f>I13-[1]Sheet1!I13</f>
        <v>0</v>
      </c>
    </row>
    <row r="14" spans="1:14" x14ac:dyDescent="0.3">
      <c r="A14" s="1">
        <v>12</v>
      </c>
      <c r="B14" t="s">
        <v>18</v>
      </c>
      <c r="C14" t="s">
        <v>9</v>
      </c>
      <c r="D14" t="s">
        <v>10</v>
      </c>
      <c r="E14">
        <v>317410750.86400002</v>
      </c>
      <c r="F14">
        <v>3755297.812999947</v>
      </c>
      <c r="G14">
        <v>3174107.5086400001</v>
      </c>
      <c r="H14">
        <v>0</v>
      </c>
      <c r="I14">
        <v>0</v>
      </c>
      <c r="J14" s="2">
        <f>E14-[1]Sheet1!E14</f>
        <v>0</v>
      </c>
      <c r="K14" s="2">
        <f>F14-[1]Sheet1!F14</f>
        <v>0</v>
      </c>
      <c r="L14" s="2">
        <f>G14-[1]Sheet1!G14</f>
        <v>0</v>
      </c>
      <c r="M14" s="2">
        <f>H14-[1]Sheet1!H14</f>
        <v>0</v>
      </c>
      <c r="N14" s="2">
        <f>I14-[1]Sheet1!I14</f>
        <v>0</v>
      </c>
    </row>
    <row r="15" spans="1:14" x14ac:dyDescent="0.3">
      <c r="A15" s="1">
        <v>13</v>
      </c>
      <c r="B15" t="s">
        <v>18</v>
      </c>
      <c r="C15" t="s">
        <v>15</v>
      </c>
      <c r="D15" t="s">
        <v>10</v>
      </c>
      <c r="E15">
        <v>966400000</v>
      </c>
      <c r="F15">
        <v>3310538.1386816772</v>
      </c>
      <c r="G15">
        <v>0</v>
      </c>
      <c r="H15">
        <v>1197964.6898858889</v>
      </c>
      <c r="I15">
        <v>0</v>
      </c>
      <c r="J15" s="2">
        <f>E15-[1]Sheet1!E15</f>
        <v>0</v>
      </c>
      <c r="K15" s="2">
        <f>F15-[1]Sheet1!F15</f>
        <v>0</v>
      </c>
      <c r="L15" s="2">
        <f>G15-[1]Sheet1!G15</f>
        <v>0</v>
      </c>
      <c r="M15" s="2">
        <f>H15-[1]Sheet1!H15</f>
        <v>0</v>
      </c>
      <c r="N15" s="2">
        <f>I15-[1]Sheet1!I15</f>
        <v>0</v>
      </c>
    </row>
    <row r="16" spans="1:14" x14ac:dyDescent="0.3">
      <c r="A16" s="1">
        <v>14</v>
      </c>
      <c r="B16" t="s">
        <v>19</v>
      </c>
      <c r="C16" t="s">
        <v>11</v>
      </c>
      <c r="D16" t="s">
        <v>10</v>
      </c>
      <c r="E16">
        <v>750276100.05719995</v>
      </c>
      <c r="F16">
        <v>37299822.216525942</v>
      </c>
      <c r="G16">
        <v>5732901.4814856518</v>
      </c>
      <c r="H16">
        <v>-30337.91900106367</v>
      </c>
      <c r="I16">
        <v>9711.8184411703332</v>
      </c>
      <c r="J16" s="2">
        <f>E16-[1]Sheet1!E16</f>
        <v>1.1920928955078125E-6</v>
      </c>
      <c r="K16" s="2">
        <f>F16-[1]Sheet1!F16</f>
        <v>0</v>
      </c>
      <c r="L16" s="2">
        <f>G16-[1]Sheet1!G16</f>
        <v>-1.2107193470001221E-8</v>
      </c>
      <c r="M16" s="2">
        <f>H16-[1]Sheet1!H16</f>
        <v>0</v>
      </c>
      <c r="N16" s="2">
        <f>I16-[1]Sheet1!I16</f>
        <v>0</v>
      </c>
    </row>
    <row r="17" spans="1:14" x14ac:dyDescent="0.3">
      <c r="A17" s="1">
        <v>15</v>
      </c>
      <c r="B17" t="s">
        <v>19</v>
      </c>
      <c r="C17" t="s">
        <v>11</v>
      </c>
      <c r="D17" t="s">
        <v>12</v>
      </c>
      <c r="E17">
        <v>759489302.91579998</v>
      </c>
      <c r="F17">
        <v>35621601.596099049</v>
      </c>
      <c r="G17">
        <v>5741768.0445498507</v>
      </c>
      <c r="H17">
        <v>-30675.760834316581</v>
      </c>
      <c r="I17">
        <v>9474.336294783825</v>
      </c>
      <c r="J17" s="2">
        <f>E17-[1]Sheet1!E17</f>
        <v>1.1920928955078125E-6</v>
      </c>
      <c r="K17" s="2">
        <f>F17-[1]Sheet1!F17</f>
        <v>0</v>
      </c>
      <c r="L17" s="2">
        <f>G17-[1]Sheet1!G17</f>
        <v>0</v>
      </c>
      <c r="M17" s="2">
        <f>H17-[1]Sheet1!H17</f>
        <v>0</v>
      </c>
      <c r="N17" s="2">
        <f>I17-[1]Sheet1!I17</f>
        <v>0</v>
      </c>
    </row>
    <row r="18" spans="1:14" x14ac:dyDescent="0.3">
      <c r="A18" s="1">
        <v>16</v>
      </c>
      <c r="B18" t="s">
        <v>20</v>
      </c>
      <c r="C18" t="s">
        <v>11</v>
      </c>
      <c r="D18" t="s">
        <v>10</v>
      </c>
      <c r="E18">
        <v>1789895048.5613999</v>
      </c>
      <c r="F18">
        <v>55234298.274348177</v>
      </c>
      <c r="G18">
        <v>10386216.674669869</v>
      </c>
      <c r="H18">
        <v>-37646.48989494329</v>
      </c>
      <c r="I18">
        <v>-75012.819226784399</v>
      </c>
      <c r="J18" s="2">
        <f>E18-[1]Sheet1!E18</f>
        <v>0</v>
      </c>
      <c r="K18" s="2">
        <f>F18-[1]Sheet1!F18</f>
        <v>0</v>
      </c>
      <c r="L18" s="2">
        <f>G18-[1]Sheet1!G18</f>
        <v>0</v>
      </c>
      <c r="M18" s="2">
        <f>H18-[1]Sheet1!H18</f>
        <v>0</v>
      </c>
      <c r="N18" s="2">
        <f>I18-[1]Sheet1!I18</f>
        <v>0</v>
      </c>
    </row>
    <row r="19" spans="1:14" x14ac:dyDescent="0.3">
      <c r="A19" s="1">
        <v>17</v>
      </c>
      <c r="B19" t="s">
        <v>20</v>
      </c>
      <c r="C19" t="s">
        <v>11</v>
      </c>
      <c r="D19" t="s">
        <v>12</v>
      </c>
      <c r="E19">
        <v>2647843951.9554</v>
      </c>
      <c r="F19">
        <v>90441325.523444653</v>
      </c>
      <c r="G19">
        <v>15658351.64500179</v>
      </c>
      <c r="H19">
        <v>-68366.014289929444</v>
      </c>
      <c r="I19">
        <v>-100319.7029442178</v>
      </c>
      <c r="J19" s="2">
        <f>E19-[1]Sheet1!E19</f>
        <v>7.152557373046875E-6</v>
      </c>
      <c r="K19" s="2">
        <f>F19-[1]Sheet1!F19</f>
        <v>0</v>
      </c>
      <c r="L19" s="2">
        <f>G19-[1]Sheet1!G19</f>
        <v>1.862645149230957E-8</v>
      </c>
      <c r="M19" s="2">
        <f>H19-[1]Sheet1!H19</f>
        <v>0</v>
      </c>
      <c r="N19" s="2">
        <f>I19-[1]Sheet1!I19</f>
        <v>-2.0372681319713593E-10</v>
      </c>
    </row>
    <row r="20" spans="1:14" x14ac:dyDescent="0.3">
      <c r="A20" s="1">
        <v>18</v>
      </c>
      <c r="B20" t="s">
        <v>20</v>
      </c>
      <c r="C20" t="s">
        <v>15</v>
      </c>
      <c r="D20" t="s">
        <v>10</v>
      </c>
      <c r="E20">
        <v>91044811.180000007</v>
      </c>
      <c r="F20">
        <v>2650337.4364369349</v>
      </c>
      <c r="G20">
        <v>2619804.9067867468</v>
      </c>
      <c r="H20">
        <v>0</v>
      </c>
      <c r="I20">
        <v>-14593.394707449999</v>
      </c>
      <c r="J20" s="2">
        <f>E20-[1]Sheet1!E20</f>
        <v>0</v>
      </c>
      <c r="K20" s="2">
        <f>F20-[1]Sheet1!F20</f>
        <v>0</v>
      </c>
      <c r="L20" s="2">
        <f>G20-[1]Sheet1!G20</f>
        <v>0</v>
      </c>
      <c r="M20" s="2">
        <f>H20-[1]Sheet1!H20</f>
        <v>0</v>
      </c>
      <c r="N20" s="2">
        <f>I20-[1]Sheet1!I20</f>
        <v>0</v>
      </c>
    </row>
    <row r="21" spans="1:14" x14ac:dyDescent="0.3">
      <c r="A21" s="1">
        <v>19</v>
      </c>
      <c r="B21" t="s">
        <v>21</v>
      </c>
      <c r="C21" t="s">
        <v>11</v>
      </c>
      <c r="D21" t="s">
        <v>10</v>
      </c>
      <c r="E21">
        <v>1961846876.44666</v>
      </c>
      <c r="F21">
        <v>41119057.275687806</v>
      </c>
      <c r="G21">
        <v>9428449.3326662593</v>
      </c>
      <c r="H21">
        <v>-27234.395050029339</v>
      </c>
      <c r="I21">
        <v>-55119.902814330162</v>
      </c>
      <c r="J21" s="2">
        <f>E21-[1]Sheet1!E21</f>
        <v>0</v>
      </c>
      <c r="K21" s="2">
        <f>F21-[1]Sheet1!F21</f>
        <v>0</v>
      </c>
      <c r="L21" s="2">
        <f>G21-[1]Sheet1!G21</f>
        <v>0</v>
      </c>
      <c r="M21" s="2">
        <f>H21-[1]Sheet1!H21</f>
        <v>-4.0017766878008842E-11</v>
      </c>
      <c r="N21" s="2">
        <f>I21-[1]Sheet1!I21</f>
        <v>0</v>
      </c>
    </row>
    <row r="22" spans="1:14" x14ac:dyDescent="0.3">
      <c r="A22" s="1">
        <v>20</v>
      </c>
      <c r="B22" t="s">
        <v>21</v>
      </c>
      <c r="C22" t="s">
        <v>11</v>
      </c>
      <c r="D22" t="s">
        <v>12</v>
      </c>
      <c r="E22">
        <v>1972055303.6403999</v>
      </c>
      <c r="F22">
        <v>41385825.026098467</v>
      </c>
      <c r="G22">
        <v>9334345.5432116222</v>
      </c>
      <c r="H22">
        <v>-30324.296907835389</v>
      </c>
      <c r="I22">
        <v>-52063.139084176481</v>
      </c>
      <c r="J22" s="2">
        <f>E22-[1]Sheet1!E22</f>
        <v>-1.0967254638671875E-5</v>
      </c>
      <c r="K22" s="2">
        <f>F22-[1]Sheet1!F22</f>
        <v>-1.1920928955078125E-7</v>
      </c>
      <c r="L22" s="2">
        <f>G22-[1]Sheet1!G22</f>
        <v>2.9802322387695313E-8</v>
      </c>
      <c r="M22" s="2">
        <f>H22-[1]Sheet1!H22</f>
        <v>-4.7293724492192268E-11</v>
      </c>
      <c r="N22" s="2">
        <f>I22-[1]Sheet1!I22</f>
        <v>2.3283064365386963E-10</v>
      </c>
    </row>
    <row r="23" spans="1:14" x14ac:dyDescent="0.3">
      <c r="A23" s="1">
        <v>21</v>
      </c>
      <c r="B23" t="s">
        <v>22</v>
      </c>
      <c r="C23" t="s">
        <v>9</v>
      </c>
      <c r="D23" t="s">
        <v>10</v>
      </c>
      <c r="E23">
        <v>983960</v>
      </c>
      <c r="F23">
        <v>24939.52000000004</v>
      </c>
      <c r="G23">
        <v>9839.6</v>
      </c>
      <c r="H23">
        <v>0</v>
      </c>
      <c r="I23">
        <v>0</v>
      </c>
      <c r="J23" s="2">
        <f>E23-[1]Sheet1!E23</f>
        <v>0</v>
      </c>
      <c r="K23" s="2">
        <f>F23-[1]Sheet1!F23</f>
        <v>0</v>
      </c>
      <c r="L23" s="2">
        <f>G23-[1]Sheet1!G23</f>
        <v>0</v>
      </c>
      <c r="M23" s="2">
        <f>H23-[1]Sheet1!H23</f>
        <v>0</v>
      </c>
      <c r="N23" s="2">
        <f>I23-[1]Sheet1!I23</f>
        <v>0</v>
      </c>
    </row>
    <row r="24" spans="1:14" x14ac:dyDescent="0.3">
      <c r="A24" s="1">
        <v>22</v>
      </c>
      <c r="B24" t="s">
        <v>22</v>
      </c>
      <c r="C24" t="s">
        <v>11</v>
      </c>
      <c r="D24" t="s">
        <v>10</v>
      </c>
      <c r="E24">
        <v>3516342791.5</v>
      </c>
      <c r="F24">
        <v>61987923.819541857</v>
      </c>
      <c r="G24">
        <v>9201312.399935659</v>
      </c>
      <c r="H24">
        <v>-33212.394867736257</v>
      </c>
      <c r="I24">
        <v>-76646.094150570876</v>
      </c>
      <c r="J24" s="2">
        <f>E24-[1]Sheet1!E24</f>
        <v>0</v>
      </c>
      <c r="K24" s="2">
        <f>F24-[1]Sheet1!F24</f>
        <v>0</v>
      </c>
      <c r="L24" s="2">
        <f>G24-[1]Sheet1!G24</f>
        <v>0</v>
      </c>
      <c r="M24" s="2">
        <f>H24-[1]Sheet1!H24</f>
        <v>0</v>
      </c>
      <c r="N24" s="2">
        <f>I24-[1]Sheet1!I24</f>
        <v>0</v>
      </c>
    </row>
    <row r="25" spans="1:14" x14ac:dyDescent="0.3">
      <c r="A25" s="1">
        <v>23</v>
      </c>
      <c r="B25" t="s">
        <v>22</v>
      </c>
      <c r="C25" t="s">
        <v>11</v>
      </c>
      <c r="D25" t="s">
        <v>12</v>
      </c>
      <c r="E25">
        <v>4313436921.0383997</v>
      </c>
      <c r="F25">
        <v>80368445.602806345</v>
      </c>
      <c r="G25">
        <v>11396090.088969581</v>
      </c>
      <c r="H25">
        <v>-44849.278852361102</v>
      </c>
      <c r="I25">
        <v>-90116.315665656395</v>
      </c>
      <c r="J25" s="2">
        <f>E25-[1]Sheet1!E25</f>
        <v>0</v>
      </c>
      <c r="K25" s="2">
        <f>F25-[1]Sheet1!F25</f>
        <v>0</v>
      </c>
      <c r="L25" s="2">
        <f>G25-[1]Sheet1!G25</f>
        <v>0</v>
      </c>
      <c r="M25" s="2">
        <f>H25-[1]Sheet1!H25</f>
        <v>1.0186340659856796E-10</v>
      </c>
      <c r="N25" s="2">
        <f>I25-[1]Sheet1!I25</f>
        <v>-2.0372681319713593E-10</v>
      </c>
    </row>
    <row r="26" spans="1:14" x14ac:dyDescent="0.3">
      <c r="A26" s="1">
        <v>24</v>
      </c>
      <c r="B26" t="s">
        <v>22</v>
      </c>
      <c r="C26" t="s">
        <v>15</v>
      </c>
      <c r="D26" t="s">
        <v>10</v>
      </c>
      <c r="E26">
        <v>110600630</v>
      </c>
      <c r="F26">
        <v>776769.84288751008</v>
      </c>
      <c r="G26">
        <v>1114317</v>
      </c>
      <c r="H26">
        <v>0</v>
      </c>
      <c r="I26">
        <v>-1797.2602374999999</v>
      </c>
      <c r="J26" s="2">
        <f>E26-[1]Sheet1!E26</f>
        <v>0</v>
      </c>
      <c r="K26" s="2">
        <f>F26-[1]Sheet1!F26</f>
        <v>0</v>
      </c>
      <c r="L26" s="2">
        <f>G26-[1]Sheet1!G26</f>
        <v>0</v>
      </c>
      <c r="M26" s="2">
        <f>H26-[1]Sheet1!H26</f>
        <v>0</v>
      </c>
      <c r="N26" s="2">
        <f>I26-[1]Sheet1!I26</f>
        <v>0</v>
      </c>
    </row>
    <row r="27" spans="1:14" x14ac:dyDescent="0.3">
      <c r="A27" s="1">
        <v>25</v>
      </c>
      <c r="B27" t="s">
        <v>23</v>
      </c>
      <c r="C27" t="s">
        <v>11</v>
      </c>
      <c r="D27" t="s">
        <v>10</v>
      </c>
      <c r="E27">
        <v>502980474.44</v>
      </c>
      <c r="F27">
        <v>27788964.987047751</v>
      </c>
      <c r="G27">
        <v>3266836.0635885452</v>
      </c>
      <c r="H27">
        <v>-18359.471583364371</v>
      </c>
      <c r="I27">
        <v>13603.15813344962</v>
      </c>
      <c r="J27" s="2">
        <f>E27-[1]Sheet1!E27</f>
        <v>0</v>
      </c>
      <c r="K27" s="2">
        <f>F27-[1]Sheet1!F27</f>
        <v>0</v>
      </c>
      <c r="L27" s="2">
        <f>G27-[1]Sheet1!G27</f>
        <v>0</v>
      </c>
      <c r="M27" s="2">
        <f>H27-[1]Sheet1!H27</f>
        <v>0</v>
      </c>
      <c r="N27" s="2">
        <f>I27-[1]Sheet1!I27</f>
        <v>0</v>
      </c>
    </row>
    <row r="28" spans="1:14" x14ac:dyDescent="0.3">
      <c r="A28" s="1">
        <v>26</v>
      </c>
      <c r="B28" t="s">
        <v>23</v>
      </c>
      <c r="C28" t="s">
        <v>11</v>
      </c>
      <c r="D28" t="s">
        <v>12</v>
      </c>
      <c r="E28">
        <v>512931619.74239999</v>
      </c>
      <c r="F28">
        <v>27801451.088548008</v>
      </c>
      <c r="G28">
        <v>3277689.599364338</v>
      </c>
      <c r="H28">
        <v>-18612.2910485229</v>
      </c>
      <c r="I28">
        <v>13094.471848516991</v>
      </c>
      <c r="J28" s="2">
        <f>E28-[1]Sheet1!E28</f>
        <v>7.7486038208007813E-7</v>
      </c>
      <c r="K28" s="2">
        <f>F28-[1]Sheet1!F28</f>
        <v>0</v>
      </c>
      <c r="L28" s="2">
        <f>G28-[1]Sheet1!G28</f>
        <v>0</v>
      </c>
      <c r="M28" s="2">
        <f>H28-[1]Sheet1!H28</f>
        <v>0</v>
      </c>
      <c r="N28" s="2">
        <f>I28-[1]Sheet1!I28</f>
        <v>0</v>
      </c>
    </row>
    <row r="29" spans="1:14" x14ac:dyDescent="0.3">
      <c r="A29" s="1">
        <v>27</v>
      </c>
      <c r="B29" t="s">
        <v>24</v>
      </c>
      <c r="C29" t="s">
        <v>11</v>
      </c>
      <c r="D29" t="s">
        <v>10</v>
      </c>
      <c r="E29">
        <v>2331664054.6599998</v>
      </c>
      <c r="F29">
        <v>152366192.33269119</v>
      </c>
      <c r="G29">
        <v>21781363.972151618</v>
      </c>
      <c r="H29">
        <v>1201525.5593262201</v>
      </c>
      <c r="I29">
        <v>-322778.27293799841</v>
      </c>
      <c r="J29" s="2">
        <f>E29-[1]Sheet1!E29</f>
        <v>0</v>
      </c>
      <c r="K29" s="2">
        <f>F29-[1]Sheet1!F29</f>
        <v>0</v>
      </c>
      <c r="L29" s="2">
        <f>G29-[1]Sheet1!G29</f>
        <v>-4.0978193283081055E-8</v>
      </c>
      <c r="M29" s="2">
        <f>H29-[1]Sheet1!H29</f>
        <v>0</v>
      </c>
      <c r="N29" s="2">
        <f>I29-[1]Sheet1!I29</f>
        <v>0</v>
      </c>
    </row>
    <row r="30" spans="1:14" x14ac:dyDescent="0.3">
      <c r="A30" s="1">
        <v>28</v>
      </c>
      <c r="B30" t="s">
        <v>24</v>
      </c>
      <c r="C30" t="s">
        <v>11</v>
      </c>
      <c r="D30" t="s">
        <v>12</v>
      </c>
      <c r="E30">
        <v>2362956768.1932001</v>
      </c>
      <c r="F30">
        <v>154969425.07597271</v>
      </c>
      <c r="G30">
        <v>21847932.860379849</v>
      </c>
      <c r="H30">
        <v>1263548.7582195899</v>
      </c>
      <c r="I30">
        <v>-325175.94919698272</v>
      </c>
      <c r="J30" s="2">
        <f>E30-[1]Sheet1!E30</f>
        <v>0</v>
      </c>
      <c r="K30" s="2">
        <f>F30-[1]Sheet1!F30</f>
        <v>2.9802322387695313E-7</v>
      </c>
      <c r="L30" s="2">
        <f>G30-[1]Sheet1!G30</f>
        <v>0</v>
      </c>
      <c r="M30" s="2">
        <f>H30-[1]Sheet1!H30</f>
        <v>7.9162418842315674E-9</v>
      </c>
      <c r="N30" s="2">
        <f>I30-[1]Sheet1!I30</f>
        <v>-6.4028427004814148E-10</v>
      </c>
    </row>
    <row r="31" spans="1:14" x14ac:dyDescent="0.3">
      <c r="A31" s="1">
        <v>29</v>
      </c>
      <c r="B31" t="s">
        <v>25</v>
      </c>
      <c r="C31" t="s">
        <v>9</v>
      </c>
      <c r="D31" t="s">
        <v>10</v>
      </c>
      <c r="E31">
        <v>737970.00000000012</v>
      </c>
      <c r="F31">
        <v>36284.639999999999</v>
      </c>
      <c r="G31">
        <v>7379.7</v>
      </c>
      <c r="H31">
        <v>0</v>
      </c>
      <c r="I31">
        <v>0</v>
      </c>
      <c r="J31" s="2">
        <f>E31-[1]Sheet1!E31</f>
        <v>0</v>
      </c>
      <c r="K31" s="2">
        <f>F31-[1]Sheet1!F31</f>
        <v>0</v>
      </c>
      <c r="L31" s="2">
        <f>G31-[1]Sheet1!G31</f>
        <v>0</v>
      </c>
      <c r="M31" s="2">
        <f>H31-[1]Sheet1!H31</f>
        <v>0</v>
      </c>
      <c r="N31" s="2">
        <f>I31-[1]Sheet1!I31</f>
        <v>0</v>
      </c>
    </row>
    <row r="32" spans="1:14" x14ac:dyDescent="0.3">
      <c r="A32" s="1">
        <v>30</v>
      </c>
      <c r="B32" t="s">
        <v>25</v>
      </c>
      <c r="C32" t="s">
        <v>11</v>
      </c>
      <c r="D32" t="s">
        <v>10</v>
      </c>
      <c r="E32">
        <v>3363230217.1599998</v>
      </c>
      <c r="F32">
        <v>198365528.0057151</v>
      </c>
      <c r="G32">
        <v>29245093.566089399</v>
      </c>
      <c r="H32">
        <v>-124423.14224423689</v>
      </c>
      <c r="I32">
        <v>-30366.4432098453</v>
      </c>
      <c r="J32" s="2">
        <f>E32-[1]Sheet1!E32</f>
        <v>0</v>
      </c>
      <c r="K32" s="2">
        <f>F32-[1]Sheet1!F32</f>
        <v>0</v>
      </c>
      <c r="L32" s="2">
        <f>G32-[1]Sheet1!G32</f>
        <v>4.0978193283081055E-8</v>
      </c>
      <c r="M32" s="2">
        <f>H32-[1]Sheet1!H32</f>
        <v>0</v>
      </c>
      <c r="N32" s="2">
        <f>I32-[1]Sheet1!I32</f>
        <v>0</v>
      </c>
    </row>
    <row r="33" spans="1:14" x14ac:dyDescent="0.3">
      <c r="A33" s="1">
        <v>31</v>
      </c>
      <c r="B33" t="s">
        <v>25</v>
      </c>
      <c r="C33" t="s">
        <v>11</v>
      </c>
      <c r="D33" t="s">
        <v>12</v>
      </c>
      <c r="E33">
        <v>3454948925.3899999</v>
      </c>
      <c r="F33">
        <v>198269876.8821789</v>
      </c>
      <c r="G33">
        <v>29371344.288355101</v>
      </c>
      <c r="H33">
        <v>-131108.93618495009</v>
      </c>
      <c r="I33">
        <v>-35662.486584136932</v>
      </c>
      <c r="J33" s="2">
        <f>E33-[1]Sheet1!E33</f>
        <v>-8.106231689453125E-6</v>
      </c>
      <c r="K33" s="2">
        <f>F33-[1]Sheet1!F33</f>
        <v>-5.9604644775390625E-7</v>
      </c>
      <c r="L33" s="2">
        <f>G33-[1]Sheet1!G33</f>
        <v>-7.8231096267700195E-8</v>
      </c>
      <c r="M33" s="2">
        <f>H33-[1]Sheet1!H33</f>
        <v>0</v>
      </c>
      <c r="N33" s="2">
        <f>I33-[1]Sheet1!I33</f>
        <v>0</v>
      </c>
    </row>
    <row r="34" spans="1:14" x14ac:dyDescent="0.3">
      <c r="A34" s="1">
        <v>32</v>
      </c>
      <c r="B34" t="s">
        <v>26</v>
      </c>
      <c r="C34" t="s">
        <v>9</v>
      </c>
      <c r="D34" t="s">
        <v>10</v>
      </c>
      <c r="E34">
        <v>34679850</v>
      </c>
      <c r="F34">
        <v>-223840.19999999969</v>
      </c>
      <c r="G34">
        <v>346798.5</v>
      </c>
      <c r="H34">
        <v>0</v>
      </c>
      <c r="I34">
        <v>0</v>
      </c>
      <c r="J34" s="2">
        <f>E34-[1]Sheet1!E34</f>
        <v>0</v>
      </c>
      <c r="K34" s="2">
        <f>F34-[1]Sheet1!F34</f>
        <v>0</v>
      </c>
      <c r="L34" s="2">
        <f>G34-[1]Sheet1!G34</f>
        <v>0</v>
      </c>
      <c r="M34" s="2">
        <f>H34-[1]Sheet1!H34</f>
        <v>0</v>
      </c>
      <c r="N34" s="2">
        <f>I34-[1]Sheet1!I34</f>
        <v>0</v>
      </c>
    </row>
    <row r="35" spans="1:14" x14ac:dyDescent="0.3">
      <c r="A35" s="1">
        <v>33</v>
      </c>
      <c r="B35" t="s">
        <v>26</v>
      </c>
      <c r="C35" t="s">
        <v>11</v>
      </c>
      <c r="D35" t="s">
        <v>10</v>
      </c>
      <c r="E35">
        <v>24782889784.1772</v>
      </c>
      <c r="F35">
        <v>1453971791.9778719</v>
      </c>
      <c r="G35">
        <v>40089492.559778653</v>
      </c>
      <c r="H35">
        <v>1925822.1622854569</v>
      </c>
      <c r="I35">
        <v>-314568.69989968668</v>
      </c>
      <c r="J35" s="2">
        <f>E35-[1]Sheet1!E35</f>
        <v>-6.103515625E-5</v>
      </c>
      <c r="K35" s="2">
        <f>F35-[1]Sheet1!F35</f>
        <v>-3.0994415283203125E-6</v>
      </c>
      <c r="L35" s="2">
        <f>G35-[1]Sheet1!G35</f>
        <v>-9.6857547760009766E-8</v>
      </c>
      <c r="M35" s="2">
        <f>H35-[1]Sheet1!H35</f>
        <v>0</v>
      </c>
      <c r="N35" s="2">
        <f>I35-[1]Sheet1!I35</f>
        <v>-4.6275090426206589E-8</v>
      </c>
    </row>
    <row r="36" spans="1:14" x14ac:dyDescent="0.3">
      <c r="A36" s="1">
        <v>34</v>
      </c>
      <c r="B36" t="s">
        <v>26</v>
      </c>
      <c r="C36" t="s">
        <v>11</v>
      </c>
      <c r="D36" t="s">
        <v>12</v>
      </c>
      <c r="E36">
        <v>24936270134.725201</v>
      </c>
      <c r="F36">
        <v>1467282955.881707</v>
      </c>
      <c r="G36">
        <v>40663096.608482257</v>
      </c>
      <c r="H36">
        <v>1969006.129944738</v>
      </c>
      <c r="I36">
        <v>-321372.69806143088</v>
      </c>
      <c r="J36" s="2">
        <f>E36-[1]Sheet1!E36</f>
        <v>4.9591064453125E-5</v>
      </c>
      <c r="K36" s="2">
        <f>F36-[1]Sheet1!F36</f>
        <v>0</v>
      </c>
      <c r="L36" s="2">
        <f>G36-[1]Sheet1!G36</f>
        <v>0</v>
      </c>
      <c r="M36" s="2">
        <f>H36-[1]Sheet1!H36</f>
        <v>-1.0943040251731873E-8</v>
      </c>
      <c r="N36" s="2">
        <f>I36-[1]Sheet1!I36</f>
        <v>-1.0186340659856796E-8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Smith, Grant</cp:lastModifiedBy>
  <dcterms:created xsi:type="dcterms:W3CDTF">2024-07-24T15:08:32Z</dcterms:created>
  <dcterms:modified xsi:type="dcterms:W3CDTF">2024-08-06T13:53:50Z</dcterms:modified>
</cp:coreProperties>
</file>