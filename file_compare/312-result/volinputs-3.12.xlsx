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benefit-my.sharepoint.com/personal/grant_smith_securitybenefit_com/Documents/Desktop/312-testing/"/>
    </mc:Choice>
  </mc:AlternateContent>
  <xr:revisionPtr revIDLastSave="10" documentId="11_F6E63FE2C9D6B4081061005C784339F021022105" xr6:coauthVersionLast="47" xr6:coauthVersionMax="47" xr10:uidLastSave="{B16FA118-55E2-4DBC-975C-CFBF202438D3}"/>
  <bookViews>
    <workbookView xWindow="-23148" yWindow="-12" windowWidth="23256" windowHeight="1317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<sst xmlns="http://schemas.openxmlformats.org/spreadsheetml/2006/main" count="12" uniqueCount="12">
  <si>
    <t>ObservationDate</t>
  </si>
  <si>
    <t>VolType</t>
  </si>
  <si>
    <t>RealizedVol</t>
  </si>
  <si>
    <t>Dividends</t>
  </si>
  <si>
    <t>Drlblend_PriceModel_Vol</t>
  </si>
  <si>
    <t>Drlblend_RealizedVol</t>
  </si>
  <si>
    <t>Marc5Price_Vol</t>
  </si>
  <si>
    <t>SPLV5UT_PriceModel_Vol</t>
  </si>
  <si>
    <t>SPLV5UTPrice_Vol</t>
  </si>
  <si>
    <t>SPMARC5P_PriceModel_Vol</t>
  </si>
  <si>
    <t>SPXFRRE7_PriceModel_Vol</t>
  </si>
  <si>
    <t>SPXFRRE7Price_Vol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</si>
</sst>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74" formatCode="0.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cbenefit-my.sharepoint.com/personal/grant_smith_securitybenefit_com/Documents/Desktop/312-testing/volinputs-dustin-oldenv.xlsx" TargetMode="External"/><Relationship Id="rId1" Type="http://schemas.openxmlformats.org/officeDocument/2006/relationships/externalLinkPath" Target="volinputs-dustin-olde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>
            <v>7.5493694986655091E-2</v>
          </cell>
          <cell r="D2">
            <v>0</v>
          </cell>
        </row>
        <row r="3">
          <cell r="C3">
            <v>6.5863906022360863E-2</v>
          </cell>
          <cell r="D3">
            <v>0.56559272613907252</v>
          </cell>
        </row>
        <row r="4">
          <cell r="C4">
            <v>5.4242604959402516E-2</v>
          </cell>
          <cell r="D4">
            <v>0</v>
          </cell>
        </row>
        <row r="5">
          <cell r="C5">
            <v>5.6618149058547319E-2</v>
          </cell>
          <cell r="D5">
            <v>0</v>
          </cell>
        </row>
        <row r="6">
          <cell r="C6">
            <v>6.3984765103965544E-2</v>
          </cell>
          <cell r="D6">
            <v>0</v>
          </cell>
        </row>
        <row r="7">
          <cell r="C7">
            <v>5.6049969275061576E-2</v>
          </cell>
          <cell r="D7">
            <v>0</v>
          </cell>
        </row>
        <row r="8">
          <cell r="C8">
            <v>7.744854658938001E-2</v>
          </cell>
          <cell r="D8">
            <v>0</v>
          </cell>
        </row>
        <row r="9">
          <cell r="C9">
            <v>8.0173007053779666E-2</v>
          </cell>
          <cell r="D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2" sqref="E2:F9"/>
    </sheetView>
  </sheetViews>
  <sheetFormatPr defaultRowHeight="14.4" x14ac:dyDescent="0.3"/>
  <cols>
    <col min="5" max="6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 s="1">
        <v>45476</v>
      </c>
      <c r="B2" t="s">
        <v>4</v>
      </c>
      <c r="C2">
        <v>7.5493694986655091E-2</v>
      </c>
      <c r="D2">
        <v>0</v>
      </c>
      <c r="E2" s="2">
        <f>C2-[1]sheet1!C2</f>
        <v>0</v>
      </c>
      <c r="F2" s="2">
        <f>D2-[1]sheet1!D2</f>
        <v>0</v>
      </c>
    </row>
    <row r="3" spans="1:6" x14ac:dyDescent="0.3">
      <c r="A3" s="1">
        <v>45476</v>
      </c>
      <c r="B3" t="s">
        <v>5</v>
      </c>
      <c r="C3">
        <v>6.5863906022360863E-2</v>
      </c>
      <c r="D3">
        <v>0.56559272613907252</v>
      </c>
      <c r="E3" s="2">
        <f>C3-[1]sheet1!C3</f>
        <v>0</v>
      </c>
      <c r="F3" s="2">
        <f>D3-[1]sheet1!D3</f>
        <v>0</v>
      </c>
    </row>
    <row r="4" spans="1:6" x14ac:dyDescent="0.3">
      <c r="A4" s="1">
        <v>45476</v>
      </c>
      <c r="B4" t="s">
        <v>6</v>
      </c>
      <c r="C4">
        <v>5.4242604959402516E-2</v>
      </c>
      <c r="D4">
        <v>0</v>
      </c>
      <c r="E4" s="2">
        <f>C4-[1]sheet1!C4</f>
        <v>0</v>
      </c>
      <c r="F4" s="2">
        <f>D4-[1]sheet1!D4</f>
        <v>0</v>
      </c>
    </row>
    <row r="5" spans="1:6" x14ac:dyDescent="0.3">
      <c r="A5" s="1">
        <v>45476</v>
      </c>
      <c r="B5" t="s">
        <v>7</v>
      </c>
      <c r="C5">
        <v>5.6618149058547319E-2</v>
      </c>
      <c r="D5">
        <v>0</v>
      </c>
      <c r="E5" s="2">
        <f>C5-[1]sheet1!C5</f>
        <v>0</v>
      </c>
      <c r="F5" s="2">
        <f>D5-[1]sheet1!D5</f>
        <v>0</v>
      </c>
    </row>
    <row r="6" spans="1:6" x14ac:dyDescent="0.3">
      <c r="A6" s="1">
        <v>45476</v>
      </c>
      <c r="B6" t="s">
        <v>8</v>
      </c>
      <c r="C6">
        <v>6.3984765103965544E-2</v>
      </c>
      <c r="D6">
        <v>0</v>
      </c>
      <c r="E6" s="2">
        <f>C6-[1]sheet1!C6</f>
        <v>0</v>
      </c>
      <c r="F6" s="2">
        <f>D6-[1]sheet1!D6</f>
        <v>0</v>
      </c>
    </row>
    <row r="7" spans="1:6" x14ac:dyDescent="0.3">
      <c r="A7" s="1">
        <v>45476</v>
      </c>
      <c r="B7" t="s">
        <v>9</v>
      </c>
      <c r="C7">
        <v>5.6049969275061576E-2</v>
      </c>
      <c r="D7">
        <v>0</v>
      </c>
      <c r="E7" s="2">
        <f>C7-[1]sheet1!C7</f>
        <v>0</v>
      </c>
      <c r="F7" s="2">
        <f>D7-[1]sheet1!D7</f>
        <v>0</v>
      </c>
    </row>
    <row r="8" spans="1:6" x14ac:dyDescent="0.3">
      <c r="A8" s="1">
        <v>45476</v>
      </c>
      <c r="B8" t="s">
        <v>10</v>
      </c>
      <c r="C8">
        <v>7.744854658938001E-2</v>
      </c>
      <c r="D8">
        <v>0</v>
      </c>
      <c r="E8" s="2">
        <f>C8-[1]sheet1!C8</f>
        <v>0</v>
      </c>
      <c r="F8" s="2">
        <f>D8-[1]sheet1!D8</f>
        <v>0</v>
      </c>
    </row>
    <row r="9" spans="1:6" x14ac:dyDescent="0.3">
      <c r="A9" s="1">
        <v>45476</v>
      </c>
      <c r="B9" t="s">
        <v>11</v>
      </c>
      <c r="C9">
        <v>8.0173007053779666E-2</v>
      </c>
      <c r="D9">
        <v>0</v>
      </c>
      <c r="E9" s="2">
        <f>C9-[1]sheet1!C9</f>
        <v>0</v>
      </c>
      <c r="F9" s="2">
        <f>D9-[1]sheet1!D9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Grant</cp:lastModifiedBy>
  <dcterms:modified xsi:type="dcterms:W3CDTF">2024-07-09T19:40:38Z</dcterms:modified>
</cp:coreProperties>
</file>