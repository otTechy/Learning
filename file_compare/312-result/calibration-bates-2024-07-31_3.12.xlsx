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benefit-my.sharepoint.com/personal/grant_smith_securitybenefit_com/Documents/Desktop/312-testing/"/>
    </mc:Choice>
  </mc:AlternateContent>
  <xr:revisionPtr revIDLastSave="6" documentId="11_F6E600BA8EFDA2091061005C784339F021023D29" xr6:coauthVersionLast="47" xr6:coauthVersionMax="47" xr10:uidLastSave="{61704EB6-8DA7-4368-AD56-6435C4E61191}"/>
  <bookViews>
    <workbookView xWindow="45972" yWindow="-108" windowWidth="23256" windowHeight="1317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B6" i="1"/>
  <c r="B7" i="1"/>
  <c r="B5" i="1"/>
</calcChain>
</file>

<file path=xl/sharedStrings.xml><?xml version="1.0" encoding="utf-8"?>
<sst xmlns="http://schemas.openxmlformats.org/spreadsheetml/2006/main" count="17" uniqueCount="17">
  <si>
    <t>ObservationDate</t>
  </si>
  <si>
    <t>V0</t>
  </si>
  <si>
    <t>ThetaV</t>
  </si>
  <si>
    <t>K</t>
  </si>
  <si>
    <t>Sigma</t>
  </si>
  <si>
    <t>Rho</t>
  </si>
  <si>
    <t>MeanJ</t>
  </si>
  <si>
    <t>JumpVol</t>
  </si>
  <si>
    <t>JumpFreq</t>
  </si>
  <si>
    <t>Seed</t>
  </si>
  <si>
    <t>NumberOfPaths</t>
  </si>
  <si>
    <t>NumberofSimDays</t>
  </si>
  <si>
    <t>ParameterType</t>
  </si>
  <si>
    <t>Psi</t>
  </si>
  <si>
    <t>Gamma1</t>
  </si>
  <si>
    <t>Gamma2</t>
  </si>
  <si>
    <t>LastUpdatedTime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</si>
</sst>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cbenefit-my.sharepoint.com/personal/grant_smith_securitybenefit_com/Documents/Desktop/312-testing/prod-bates-2024-07-31.xlsx" TargetMode="External"/><Relationship Id="rId1" Type="http://schemas.openxmlformats.org/officeDocument/2006/relationships/externalLinkPath" Target="prod-bates-2024-07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1.9751191791074686E-2</v>
          </cell>
          <cell r="C2">
            <v>3.4816147233122791E-2</v>
          </cell>
          <cell r="D2">
            <v>2.3141785880023922</v>
          </cell>
          <cell r="E2">
            <v>0.84363313605969092</v>
          </cell>
          <cell r="F2">
            <v>-0.6734320983760187</v>
          </cell>
          <cell r="G2">
            <v>-3.6959120344894651E-3</v>
          </cell>
          <cell r="H2">
            <v>2.8209530361181432E-2</v>
          </cell>
          <cell r="I2">
            <v>9.9761841757078598E-2</v>
          </cell>
          <cell r="J2">
            <v>888</v>
          </cell>
          <cell r="K2">
            <v>5000</v>
          </cell>
          <cell r="L2">
            <v>400</v>
          </cell>
          <cell r="M2">
            <v>-1</v>
          </cell>
          <cell r="N2">
            <v>1.5</v>
          </cell>
          <cell r="O2">
            <v>0.5</v>
          </cell>
          <cell r="P2">
            <v>0.5</v>
          </cell>
          <cell r="Q2">
            <v>45504.837953321759</v>
          </cell>
        </row>
        <row r="3">
          <cell r="B3">
            <v>1.9482517299121295E-2</v>
          </cell>
          <cell r="C3">
            <v>4.0728395448151919E-2</v>
          </cell>
          <cell r="D3">
            <v>2.2978150789949821</v>
          </cell>
          <cell r="E3">
            <v>0.87502035723665328</v>
          </cell>
          <cell r="F3">
            <v>-0.66316787508721209</v>
          </cell>
          <cell r="G3">
            <v>-3.6959120344894651E-3</v>
          </cell>
          <cell r="H3">
            <v>2.8209530361181432E-2</v>
          </cell>
          <cell r="I3">
            <v>9.9761841757078598E-2</v>
          </cell>
          <cell r="J3">
            <v>888</v>
          </cell>
          <cell r="K3">
            <v>5000</v>
          </cell>
          <cell r="L3">
            <v>400</v>
          </cell>
          <cell r="M3">
            <v>0</v>
          </cell>
          <cell r="N3">
            <v>1.5</v>
          </cell>
          <cell r="O3">
            <v>0.5</v>
          </cell>
          <cell r="P3">
            <v>0.5</v>
          </cell>
          <cell r="Q3">
            <v>45504.841480011572</v>
          </cell>
        </row>
        <row r="4">
          <cell r="B4">
            <v>2.2153238545929162E-2</v>
          </cell>
          <cell r="C4">
            <v>4.5582049224455079E-2</v>
          </cell>
          <cell r="D4">
            <v>2.3191407053794153</v>
          </cell>
          <cell r="E4">
            <v>0.87985199749906595</v>
          </cell>
          <cell r="F4">
            <v>-0.69340940887415281</v>
          </cell>
          <cell r="G4">
            <v>-3.6959120344894651E-3</v>
          </cell>
          <cell r="H4">
            <v>2.8209530361181432E-2</v>
          </cell>
          <cell r="I4">
            <v>9.9761841757078598E-2</v>
          </cell>
          <cell r="J4">
            <v>888</v>
          </cell>
          <cell r="K4">
            <v>5000</v>
          </cell>
          <cell r="L4">
            <v>400</v>
          </cell>
          <cell r="M4">
            <v>1</v>
          </cell>
          <cell r="N4">
            <v>1.5</v>
          </cell>
          <cell r="O4">
            <v>0.5</v>
          </cell>
          <cell r="P4">
            <v>0.5</v>
          </cell>
          <cell r="Q4">
            <v>45504.844985763892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M11" sqref="M11"/>
    </sheetView>
  </sheetViews>
  <sheetFormatPr defaultRowHeight="14.4" x14ac:dyDescent="0.3"/>
  <cols>
    <col min="17" max="17" width="18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45504</v>
      </c>
      <c r="B2">
        <v>1.9751191791074686E-2</v>
      </c>
      <c r="C2">
        <v>3.4816147233122791E-2</v>
      </c>
      <c r="D2">
        <v>2.3141785880023922</v>
      </c>
      <c r="E2">
        <v>0.84363313605969092</v>
      </c>
      <c r="F2">
        <v>-0.6734320983760187</v>
      </c>
      <c r="G2">
        <v>-3.6959120344894651E-3</v>
      </c>
      <c r="H2">
        <v>2.8209530361181432E-2</v>
      </c>
      <c r="I2">
        <v>9.9761841757078598E-2</v>
      </c>
      <c r="J2">
        <v>888</v>
      </c>
      <c r="K2">
        <v>5000</v>
      </c>
      <c r="L2">
        <v>400</v>
      </c>
      <c r="M2">
        <v>-1</v>
      </c>
      <c r="N2">
        <v>1.5</v>
      </c>
      <c r="O2">
        <v>0.5</v>
      </c>
      <c r="P2">
        <v>0.5</v>
      </c>
      <c r="Q2" s="2">
        <v>45509.377790856481</v>
      </c>
    </row>
    <row r="3" spans="1:17" x14ac:dyDescent="0.3">
      <c r="A3" s="1">
        <v>45504</v>
      </c>
      <c r="B3">
        <v>1.9482517299121295E-2</v>
      </c>
      <c r="C3">
        <v>4.0728395448151919E-2</v>
      </c>
      <c r="D3">
        <v>2.2978150789949821</v>
      </c>
      <c r="E3">
        <v>0.87502035723665328</v>
      </c>
      <c r="F3">
        <v>-0.66316787508721209</v>
      </c>
      <c r="G3">
        <v>-3.6959120344894651E-3</v>
      </c>
      <c r="H3">
        <v>2.8209530361181432E-2</v>
      </c>
      <c r="I3">
        <v>9.9761841757078598E-2</v>
      </c>
      <c r="J3">
        <v>888</v>
      </c>
      <c r="K3">
        <v>5000</v>
      </c>
      <c r="L3">
        <v>400</v>
      </c>
      <c r="M3">
        <v>0</v>
      </c>
      <c r="N3">
        <v>1.5</v>
      </c>
      <c r="O3">
        <v>0.5</v>
      </c>
      <c r="P3">
        <v>0.5</v>
      </c>
      <c r="Q3" s="2">
        <v>45509.39420289352</v>
      </c>
    </row>
    <row r="4" spans="1:17" x14ac:dyDescent="0.3">
      <c r="A4" s="1">
        <v>45504</v>
      </c>
      <c r="B4">
        <v>2.2153238545929162E-2</v>
      </c>
      <c r="C4">
        <v>4.5582049224455079E-2</v>
      </c>
      <c r="D4">
        <v>2.3191407053794153</v>
      </c>
      <c r="E4">
        <v>0.87985199749906595</v>
      </c>
      <c r="F4">
        <v>-0.69340940887415281</v>
      </c>
      <c r="G4">
        <v>-3.6959120344894651E-3</v>
      </c>
      <c r="H4">
        <v>2.8209530361181432E-2</v>
      </c>
      <c r="I4">
        <v>9.9761841757078598E-2</v>
      </c>
      <c r="J4">
        <v>888</v>
      </c>
      <c r="K4">
        <v>5000</v>
      </c>
      <c r="L4">
        <v>400</v>
      </c>
      <c r="M4">
        <v>1</v>
      </c>
      <c r="N4">
        <v>1.5</v>
      </c>
      <c r="O4">
        <v>0.5</v>
      </c>
      <c r="P4">
        <v>0.5</v>
      </c>
      <c r="Q4" s="2">
        <v>45509.409616747682</v>
      </c>
    </row>
    <row r="5" spans="1:17" x14ac:dyDescent="0.3">
      <c r="B5">
        <f>B2-[1]sheet1!B2</f>
        <v>0</v>
      </c>
      <c r="C5">
        <f>C2-[1]sheet1!C2</f>
        <v>0</v>
      </c>
      <c r="D5">
        <f>D2-[1]sheet1!D2</f>
        <v>0</v>
      </c>
      <c r="E5">
        <f>E2-[1]sheet1!E2</f>
        <v>0</v>
      </c>
      <c r="F5">
        <f>F2-[1]sheet1!F2</f>
        <v>0</v>
      </c>
      <c r="G5">
        <f>G2-[1]sheet1!G2</f>
        <v>0</v>
      </c>
      <c r="H5">
        <f>H2-[1]sheet1!H2</f>
        <v>0</v>
      </c>
      <c r="I5">
        <f>I2-[1]sheet1!I2</f>
        <v>0</v>
      </c>
      <c r="J5">
        <f>J2-[1]sheet1!J2</f>
        <v>0</v>
      </c>
      <c r="K5">
        <f>K2-[1]sheet1!K2</f>
        <v>0</v>
      </c>
      <c r="L5">
        <f>L2-[1]sheet1!L2</f>
        <v>0</v>
      </c>
      <c r="M5">
        <f>M2-[1]sheet1!M2</f>
        <v>0</v>
      </c>
      <c r="N5">
        <f>N2-[1]sheet1!N2</f>
        <v>0</v>
      </c>
      <c r="O5">
        <f>O2-[1]sheet1!O2</f>
        <v>0</v>
      </c>
      <c r="P5">
        <f>P2-[1]sheet1!P2</f>
        <v>0</v>
      </c>
      <c r="Q5">
        <f>Q2-[1]sheet1!Q2</f>
        <v>4.5398375347213005</v>
      </c>
    </row>
    <row r="6" spans="1:17" x14ac:dyDescent="0.3">
      <c r="B6">
        <f>B3-[1]sheet1!B3</f>
        <v>0</v>
      </c>
      <c r="C6">
        <f>C3-[1]sheet1!C3</f>
        <v>0</v>
      </c>
      <c r="D6">
        <f>D3-[1]sheet1!D3</f>
        <v>0</v>
      </c>
      <c r="E6">
        <f>E3-[1]sheet1!E3</f>
        <v>0</v>
      </c>
      <c r="F6">
        <f>F3-[1]sheet1!F3</f>
        <v>0</v>
      </c>
      <c r="G6">
        <f>G3-[1]sheet1!G3</f>
        <v>0</v>
      </c>
      <c r="H6">
        <f>H3-[1]sheet1!H3</f>
        <v>0</v>
      </c>
      <c r="I6">
        <f>I3-[1]sheet1!I3</f>
        <v>0</v>
      </c>
      <c r="J6">
        <f>J3-[1]sheet1!J3</f>
        <v>0</v>
      </c>
      <c r="K6">
        <f>K3-[1]sheet1!K3</f>
        <v>0</v>
      </c>
      <c r="L6">
        <f>L3-[1]sheet1!L3</f>
        <v>0</v>
      </c>
      <c r="M6">
        <f>M3-[1]sheet1!M3</f>
        <v>0</v>
      </c>
      <c r="N6">
        <f>N3-[1]sheet1!N3</f>
        <v>0</v>
      </c>
      <c r="O6">
        <f>O3-[1]sheet1!O3</f>
        <v>0</v>
      </c>
      <c r="P6">
        <f>P3-[1]sheet1!P3</f>
        <v>0</v>
      </c>
      <c r="Q6">
        <f>Q3-[1]sheet1!Q3</f>
        <v>4.5527228819482843</v>
      </c>
    </row>
    <row r="7" spans="1:17" x14ac:dyDescent="0.3">
      <c r="B7">
        <f>B4-[1]sheet1!B4</f>
        <v>0</v>
      </c>
      <c r="C7">
        <f>C4-[1]sheet1!C4</f>
        <v>0</v>
      </c>
      <c r="D7">
        <f>D4-[1]sheet1!D4</f>
        <v>0</v>
      </c>
      <c r="E7">
        <f>E4-[1]sheet1!E4</f>
        <v>0</v>
      </c>
      <c r="F7">
        <f>F4-[1]sheet1!F4</f>
        <v>0</v>
      </c>
      <c r="G7">
        <f>G4-[1]sheet1!G4</f>
        <v>0</v>
      </c>
      <c r="H7">
        <f>H4-[1]sheet1!H4</f>
        <v>0</v>
      </c>
      <c r="I7">
        <f>I4-[1]sheet1!I4</f>
        <v>0</v>
      </c>
      <c r="J7">
        <f>J4-[1]sheet1!J4</f>
        <v>0</v>
      </c>
      <c r="K7">
        <f>K4-[1]sheet1!K4</f>
        <v>0</v>
      </c>
      <c r="L7">
        <f>L4-[1]sheet1!L4</f>
        <v>0</v>
      </c>
      <c r="M7">
        <f>M4-[1]sheet1!M4</f>
        <v>0</v>
      </c>
      <c r="N7">
        <f>N4-[1]sheet1!N4</f>
        <v>0</v>
      </c>
      <c r="O7">
        <f>O4-[1]sheet1!O4</f>
        <v>0</v>
      </c>
      <c r="P7">
        <f>P4-[1]sheet1!P4</f>
        <v>0</v>
      </c>
      <c r="Q7">
        <f>Q4-[1]sheet1!Q4</f>
        <v>4.5646309837902663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Grant</cp:lastModifiedBy>
  <dcterms:modified xsi:type="dcterms:W3CDTF">2024-08-05T14:52:02Z</dcterms:modified>
</cp:coreProperties>
</file>